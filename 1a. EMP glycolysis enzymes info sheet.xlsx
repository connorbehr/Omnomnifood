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<sst xmlns="http://schemas.openxmlformats.org/spreadsheetml/2006/main" count="259" uniqueCount="239">
  <si>
    <t>Enzyme:</t>
  </si>
  <si>
    <t>Endo/exocellulase</t>
  </si>
  <si>
    <t>b-glucosidase</t>
  </si>
  <si>
    <t>Hexokinase (PII)</t>
  </si>
  <si>
    <t>AnPGI</t>
  </si>
  <si>
    <t>EcPFK1</t>
  </si>
  <si>
    <t>HsFBA</t>
  </si>
  <si>
    <t>PfuTPI</t>
  </si>
  <si>
    <t>GAPDH</t>
  </si>
  <si>
    <t>PGK1</t>
  </si>
  <si>
    <t>PGM</t>
  </si>
  <si>
    <t>Enolase</t>
  </si>
  <si>
    <t>Pyruvate kinase</t>
  </si>
  <si>
    <t>Specific act.:</t>
  </si>
  <si>
    <t>220 U/mg</t>
  </si>
  <si>
    <t>370 U/mg</t>
  </si>
  <si>
    <t>350 U/mg</t>
  </si>
  <si>
    <t>540 U/mg</t>
  </si>
  <si>
    <t>200 U/mg</t>
  </si>
  <si>
    <t>61,940 U/mg</t>
  </si>
  <si>
    <t>253 U/mg</t>
  </si>
  <si>
    <t>1000 U/mg</t>
  </si>
  <si>
    <t>400 U/mg</t>
  </si>
  <si>
    <t>150 U/mg</t>
  </si>
  <si>
    <t>217 U/mg</t>
  </si>
  <si>
    <t>Unit def.:</t>
  </si>
  <si>
    <t>1 umol/min (glucose)</t>
  </si>
  <si>
    <t>1 umol/min (G6P)</t>
  </si>
  <si>
    <t>1 umol/min</t>
  </si>
  <si>
    <t xml:space="preserve">1 umol/min </t>
  </si>
  <si>
    <t>1 umol/min (3-PG)</t>
  </si>
  <si>
    <t>1 umol/min (2-PG)</t>
  </si>
  <si>
    <t>1 umol/min (PEP)</t>
  </si>
  <si>
    <t>1 umol/min (pyruvate)</t>
  </si>
  <si>
    <t>Citation:</t>
  </si>
  <si>
    <t xml:space="preserve">Bao, Lei &amp; Huang, Qiang &amp; Chang, Lei &amp; Zhou, Jungang &amp; Lu, Hong. (2011). Screening and characterization of a cellulase with endocellulase and exocellulase activity from yak rumen metagenome. Journal of Molecular Catalysis B-enzymatic - J MOL CATAL B-ENZYM. 73. 104-110. 10.1016/j.molcatb.2011.08.006. </t>
  </si>
  <si>
    <r>
      <rPr/>
      <t xml:space="preserve">Yang, F., Yang, X., Li, Z., Du, C., Wang, J., &amp; Li, S. (2015). Overexpression and characterization of a glucose-tolerant β-glucosidase from T. aotearoense with high specific activity for cellobiose. Applied microbiology and biotechnology, 99(21), 8903–8915. </t>
    </r>
    <r>
      <rPr>
        <color rgb="FF1155CC"/>
      </rPr>
      <t>https://doi.org/10.1007/s00253-015-6619-9</t>
    </r>
  </si>
  <si>
    <t>Wilkinson, K. D., &amp; Rose, I. A. (1979). Activation of yeast hexokinase PII. Changes in conformation and association. The Journal of biological chemistry, 254(6), 2125–2131.</t>
  </si>
  <si>
    <t xml:space="preserve">Ruijter, G. J. G., &amp; Visser, J. (1999). Characterization of Aspergillus niger phosphoglucose isomerase. Use for quantitative determination of erythrose 4-phosphate. Biochimie, 81(3), 267–272. doi:10.1016/s0300-9084(99)80061-3 </t>
  </si>
  <si>
    <t>Johnson, J. L., &amp; Reinhart, G. D. (1992). MgATP and fructose 6-phosphate interactions with phosphofructokinase from Escherichia coli. Biochemistry, 31(46), 11510–11518. https://doi.org/10.1021/bi00161a032</t>
  </si>
  <si>
    <t>Esposito, G., Vitagliano, L., Costanzo, P., Borrelli, L., Barone, R., Pavone, L., Izzo, P., Zagari, A., &amp; Salvatore, F. (2004). Human aldolase A natural mutants: relationship between flexibility of the C-terminal region and enzyme function. The Biochemical journal, 380(Pt 1), 51–56. https://doi.org/10.1042/BJ20031941</t>
  </si>
  <si>
    <t xml:space="preserve">Sharma, Prerna; Guptasarma, Purnananda (2015). ‘Super-perfect’ enzymes: Structural stabilities and activities of recombinant triose phosphate isomerases from Pyrococcus furiosus and Thermococcus onnurineus produced in Escherichia coli. Biochemical and Biophysical Research Communications, 460(3), 753–758. doi:10.1016/j.bbrc.2015.03.102 </t>
  </si>
  <si>
    <t>Hannaert, V., Callens, M., Opperdoes, F. R., &amp; Michels, P. A. (1994). Purification and characterization of the native and the recombinant Leishmania mexicana glycosomal glyceraldehyde-3-phosphate dehydrogenase. European journal of biochemistry, 225(1), 143–149. https://doi.org/10.1111/j.1432-1033.1994.00143.x</t>
  </si>
  <si>
    <r>
      <rPr/>
      <t xml:space="preserve">Teusink, B., Passarge, J., Reijenga, C. A., Esgalhado, E., van der Weijden, C. C., Schepper, M., Walsh, M. C., Bakker, B. M., van Dam, K., Westerhoff, H. V., &amp; Snoep, J. L. (2000). Can yeast glycolysis be understood in terms of in vitro kinetics of the constituent enzymes? Testing biochemistry. European journal of biochemistry, 267(17), 5313–5329. </t>
    </r>
    <r>
      <rPr>
        <color rgb="FF1155CC"/>
        <u/>
      </rPr>
      <t>https://doi.org/10.1046/j.1432-1327.2000.01527.x</t>
    </r>
  </si>
  <si>
    <r>
      <rPr/>
      <t xml:space="preserve">Guerra, D.G., Vertommen, D., Fothergill‐Gilmore, L.A., Opperdoes, F.R. and Michels, P.A.M. (2004), Characterization of the cofactor‐independent phosphoglycerate mutase from Leishmania mexicana mexicana. European Journal of Biochemistry, 271: 1798-1810. </t>
    </r>
    <r>
      <rPr>
        <color rgb="FF1155CC"/>
        <u/>
      </rPr>
      <t>https://doi.org/10.1111/j.1432-1033.2004.04097.x</t>
    </r>
  </si>
  <si>
    <t>Zadvornyy, O. A., Boyd, E. S., Posewitz, M. C., Zorin, N. A., &amp; Peters, J. W. (2015). Biochemical and Structural Characterization of Enolase from Chloroflexus aurantiacus: Evidence for a Thermophilic Origin. Frontiers in bioengineering and biotechnology, 3, 74. https://doi.org/10.3389/fbioe.2015.00074</t>
  </si>
  <si>
    <t>Terlecki G. (1989). Purification and properties of pyruvate kinase type M1 from bovine brain. The International journal of biochemistry, 21(9), 1053–1060. https://doi.org/10.1016/0020-711x(89)90240-1</t>
  </si>
  <si>
    <t>Source link:</t>
  </si>
  <si>
    <t>https://www.sciencedirect.com/science/article/abs/pii/S1381117711002220</t>
  </si>
  <si>
    <t>https://sci-hub.se/https://link.springer.com/article/10.1007%2Fs00253-015-6619-9</t>
  </si>
  <si>
    <t>https://www.jbc.org/article/S0021-9258(17)37775-X/pdf</t>
  </si>
  <si>
    <t>https://sci-hub.se/10.1016/S0300-9084(99)80061-3</t>
  </si>
  <si>
    <t>https://docksci.com/mgatp-and-fructose-6-phosphate-interactions-with-phosphofructokinase-from-escher_5ea7aa01097c47935e8b45a2.html</t>
  </si>
  <si>
    <t>https://www.ncbi.nlm.nih.gov/pmc/articles/PMC1224144/pdf/14766013.pdf</t>
  </si>
  <si>
    <t>https://sci-hubtw.hkvisa.net/10.1016/j.bbrc.2015.03.102</t>
  </si>
  <si>
    <t>https://febs.onlinelibrary.wiley.com/doi/epdf/10.1111/j.1432-1033.1994.00143.x</t>
  </si>
  <si>
    <t>https://febs.onlinelibrary.wiley.com/doi/pdf/10.1046/j.1432-1327.2000.01527.x</t>
  </si>
  <si>
    <t>https://febs.onlinelibrary.wiley.com/doi/full/10.1111/j.1432-1033.2004.04097.x</t>
  </si>
  <si>
    <t>https://www.ncbi.nlm.nih.gov/pmc/articles/PMC4450660/</t>
  </si>
  <si>
    <t>https://sci-hubtw.hkvisa.net/10.1016/0020-711x(89)90240-1</t>
  </si>
  <si>
    <t>Citation 2:</t>
  </si>
  <si>
    <t xml:space="preserve">Sols, A., De la Fuente, A. S. G., Villar-Palasí, C., &amp; Asensio, C. (1958). Substrate specificity and some other properties of baker’s yeast hexokinase. Biochimica et Biophysica Acta, 30(1), 92–101. doi:10.1016/0006-3002(58)90245-2 </t>
  </si>
  <si>
    <t>SINGH K. (1959). Purification and properties of phosphoglucose isomerase from Aspergillus niger. Canadian journal of biochemistry and physiology, 37(8), 927–932.</t>
  </si>
  <si>
    <t>Peskov, K., Goryanin, I., &amp; Demin, O. (2008). Kinetic model of phosphofructokinase-1 from Escherichia coli. Journal of bioinformatics and computational biology, 6(4), 843–867. https://doi.org/10.1142/s0219720008003643</t>
  </si>
  <si>
    <t>Sherman, M. A., Fairbrother, W. J., &amp; Mas, M. T. (1992). Characterization of the structure and properties of the His 62--&gt;Ala and Arg 38--&gt;Ala mutants of yeast phosphoglycerate kinase: an investigation of the catalytic and activatory sites by site-directed mutagenesis and NMR. Protein science : a publication of the Protein Society, 1(6), 752–760. https://doi.org/10.1002/pro.5560010607</t>
  </si>
  <si>
    <t>Cardenas, J. M., Dyson, R. D., &amp; Strandholm, J. J. (1973). Bovine pyruvate kinases. I. Purification and characterization of the skeletal muscle isozyme. The Journal of biological chemistry, 248(20), 6931–6937.</t>
  </si>
  <si>
    <t>Source link 2:</t>
  </si>
  <si>
    <r>
      <rPr>
        <color rgb="FF1155CC"/>
        <u/>
      </rPr>
      <t>https://sci-hub.se/https://www.sciencedirect.com/science/article/abs/pii/0006300258902452#:</t>
    </r>
    <r>
      <rPr/>
      <t>:~:text=It%20has%20been%20found%20that,the%20range%20pH%205%E2%80%938.</t>
    </r>
  </si>
  <si>
    <t>https://sci-hub.se/https://doi.org/10.1139/o59-101</t>
  </si>
  <si>
    <t>https://sci-hub.se/https://www.worldscientific.com/doi/10.1142/s0219720008003643?url_ver=Z39.88-2003&amp;rfr_id=ori:rid:crossref.org&amp;rfr_dat=cr_pub%20%200pubmed</t>
  </si>
  <si>
    <t>https://onlinelibrary.wiley.com/doi/epdf/10.1002/pro.5560010607</t>
  </si>
  <si>
    <t>https://www.jbc.org/article/S0021-9258(19)43342-5/pdf</t>
  </si>
  <si>
    <t>Citation 3:</t>
  </si>
  <si>
    <t xml:space="preserve">Mulcahy, P., O’Flaherty, M., Jennings, L., &amp; Griffin, T. (2002). Application of kinetic-based biospecific affinity chromatographic systems to ATP-dependent enzymes: studies with yeast hexokinase. Analytical Biochemistry, 309(2), 279–292. doi:10.1016/s0003-2697(02)00307-x </t>
  </si>
  <si>
    <t xml:space="preserve">Blangy, D., Buc, H., &amp; Monod, J. (1968). Kinetics of the allosteric interactions of phosphofructokinase from Escherichia coli. Journal of Molecular Biology, 31(1), 13–35. doi:10.1016/0022-2836(68)90051-x </t>
  </si>
  <si>
    <t>Source link 3:</t>
  </si>
  <si>
    <t>https://sci-hub.se/10.1016/s0003-2697(02)00307-x</t>
  </si>
  <si>
    <t>https://sci-hub.se/https://www.sciencedirect.com/science/article/abs/pii/002228366890051X?via%3Dihub</t>
  </si>
  <si>
    <t>https://api.sigmaaldrich.com/deepweb/assets/sigmaaldrich/quality/spec/138/742/P7634-BULK________SIGMA____.pdf</t>
  </si>
  <si>
    <t>https://www.sigmaaldrich.com/content/dam/sigma-aldrich/docs/Sigma/Datasheet/2/h6380dat.pdf</t>
  </si>
  <si>
    <t>https://www.uniprot.org/uniprot/A0A0H4NXH8</t>
  </si>
  <si>
    <t>https://www.ncbi.nlm.nih.gov/nuccore/KP772230</t>
  </si>
  <si>
    <t>Selected enz.:</t>
  </si>
  <si>
    <t>https://www.uniprot.org/uniprot/G3BJX5</t>
  </si>
  <si>
    <t>https://www.uniprot.org/uniprot/I3VS74</t>
  </si>
  <si>
    <t>https://www.uniprot.org/uniprot/P04807</t>
  </si>
  <si>
    <t>https://www.uniprot.org/uniprot/Q874Q4</t>
  </si>
  <si>
    <t>https://www.uniprot.org/uniprot/P0A796</t>
  </si>
  <si>
    <t>https://www.uniprot.org/uniprot/P04075</t>
  </si>
  <si>
    <t>https://www.uniprot.org/uniprot/P62002</t>
  </si>
  <si>
    <t>https://www.uniprot.org/uniprot/Q27890</t>
  </si>
  <si>
    <t>https://www.uniprot.org/uniprot/P00560</t>
  </si>
  <si>
    <t>https://www.uniprot.org/uniprot/Q86N96</t>
  </si>
  <si>
    <t>https://www.uniprot.org/uniprot/A9WCM4</t>
  </si>
  <si>
    <t>https://www.uniprot.org/uniprot/A5D984</t>
  </si>
  <si>
    <t xml:space="preserve">Genbank: </t>
  </si>
  <si>
    <t>GQ849224</t>
  </si>
  <si>
    <t>KP772230</t>
  </si>
  <si>
    <t>P04807.4</t>
  </si>
  <si>
    <t>Q874Q4</t>
  </si>
  <si>
    <t>P0A796</t>
  </si>
  <si>
    <t>P04075</t>
  </si>
  <si>
    <t>P62002</t>
  </si>
  <si>
    <t>Q27890</t>
  </si>
  <si>
    <t>P00560</t>
  </si>
  <si>
    <t>CAD66620.1</t>
  </si>
  <si>
    <t>A9WCM4</t>
  </si>
  <si>
    <t>A5D984</t>
  </si>
  <si>
    <t>Sequence:</t>
  </si>
  <si>
    <t>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</si>
  <si>
    <t>MANFPKGFLFGTATSSYQIEGAVNEDGRTPSIWDTFSKTSGMTYNGDTGDIACDHYHRYKEDVVILKEIGVKAYRFSIAWPRIFPEKGNFNPKGIDFYKRLVEELLKNDIIPVATIYHWDLPQWAGDLGGWLNRDLIYWYSEYSQKLFKEIGNVVPMWITHNEPWCASILSYGIGEHAPGHKDYREALIAAHHILLSHGEAVKIFRDMNIKESQIGITLNLTPAYPASERDVDRLAAQYADGFSNRWFLDPIFKGNYPEDMIELYKEEIGKFDFIKSEDLGIISQPIDFLGINFYSRSIVKYSEKSMLKWIGVEGPGAKTDMGWEIRPESLYDLLKRLDKEYTRIPIYITENGAAFKDIITEDGKVHDQERIEYIKEHLKYANKFIKEGGNLKGYFLWSFLDNFEWAFGYSKRFGIVYVDYKTQKRILKDSALWYKEVINRASIVF</t>
  </si>
  <si>
    <t>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</si>
  <si>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PSFSQATELSAWKELQEHHNSVGRNIVLKDCFQKDPQRFEKFSRTFKNTVDNSEVLFDFSKNFLTEETLALLVKLAKEANVEELRDAMFKGEHINFTEDRAVYHAALRNVSNEPMQVNGKSVVEDVNAVLEHMKEFTEQVRSGEWKGYTGKKIDTVINIGIGGSDLGPVMVTEALKPYGAPDMKLHFVSNIDGTHIAEALKNSNPETTLFLIASWFLETAKEDSHIAKHFVALSTNEEEVTKFGIDKKNMFGFESWVGGRYSVWSAIGLSVALYIGYDNFHQFLAGAHAMDKHFREAPLEQNIPVLGGLLSVWYSDFFGAQTHLVAPFDQYLHRFPAYLQQLSMESNGKAITRTGEYVKYTTGPILFGEPATNAQHSFFQLLHQGTKLIPSDFIMAAESHNPVEGGKHQRMLASNFLAQSEALMVGKTPEQVKAEGAPENLVSHKTFLGNRPTTSILAQKITPSTLGALITYYEHLTFTEGAIWNINSFDQWGVELGKVLAKKIQKELETADAGSDHDASTSGLLLAFKKKANLA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</si>
  <si>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</si>
  <si>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</si>
  <si>
    <t>MAKLKEPIIAINFKTYIEATGKRALEIAKAAEKVYKETGVTIVVAPQLVDLRMIAESVEIPVFAQHIDPIKPGSHTGHVLPEAVKEAGAVGTLLNHSENRMILADLEAAIRRAEEVGLMTMVCSNNPAVSAAVAALNPDYVAVEPPELIGTGIPVSKAKPEVITNTVELVKKVNPEVKVLCGAGISTGEDVKKAIELGTVGVLLASGVTKAKDPEKAIWDLVSGIIKE</t>
  </si>
  <si>
    <t>APIKVGINGFGRIGRMVFQAICDQGLIGTEIDVVAVVDMSTNAEYFAYQMKHDTVHGRPKYTVEAVKSSPSVETADVLVVNGHRIKCVKAQRNPADLPWGKLGVDYVIESTGLFTDKLKAEGHIKGGAKKVVISAPASGGAKTIVMGVNQHEYSPASHHVVSNASCTTNCLAPIVHVLTKENFGIETGLMTTIHSYTATQKTVDGVSLKDWRGGRAAAVNIIPSTTGAAKAVGMVIPSTKGKLTGMSFRVPTPDVSVVDLTFRATRDTSIQEIDKAIKKAAQTYMKGILGFTDEELVSADFINDNRSSVYDSKATLQNNLPGEKRFFKVVSWYDNEWAYSHRVVDLVRYMAAKDAAS</t>
  </si>
  <si>
    <t>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</si>
  <si>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SALLLKPHKDLPRRTVLIVVMDGLGIGPEDDYDAVHMASTPFMDAHRRDNRHFRCVRAHGTAVGLPTDADMGNSEVGHNALGAGRVALQGASLVDDAIKSGEIYTGEGYRYLHGAFSKEGSTLHLIGLLSDGGVHSRDNQIYSIIEHAVKDGAKRIRVHALYDGRDVPDGSSFRFTDELEAVLAKVRQNGCDAAIASGGGRMFVTMDRYDADWSIVERGWRAQVLGDARHFHSAKEAITTFREEDPKVTDQYYPPFIVVDEQDKPLGTIEDGDAVLCVNFRGDRVIEMTRAFEDEDFNKFDRVRVPKVRYAGMMRYDGDLGIPNNFLVPPPKLTRVSEEYLCGSGLNIFACSETQKFGHVTYFWNGNRSGKIDEKHETFKEVPSDRVQFNEKPRMQSAAITEAAIEALKSGMYNVVRINFPNGDMVGHTGDLKATITGVEAVDESLAKLKDAVDSVNGVYIVTADHGNSDDMAQRDKKGKPMKDGNGNVLPLTSHTLSPVPVFIGGAGLDPRVAMRTDLPAAGLANVTATFINLLGFEAPEDYEPSLIYVEK</t>
  </si>
  <si>
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</si>
  <si>
    <t>MSKHHSDAGTAFIQTQQLHAAMADTFLEHMCRLDIDSPPITARNTGIICTIGPASRAVETLKEMIKSGMNVARLNFSHGTHEYHAETIKNVREATESFASDPILYRPVAVALDTKGPEIRTGLIKGSGTAEVELKKGATLKITLDNAYMEKCDENILWLDYKNICKVVDVGSKIYVDDGLISLLVKQKGPDFLVTEVENGGSLGSKKGVNLPGAAVDLPAVSEKDIQDLKFGVEQNVDMVFASFIRKASDVHEVRKVLGEKGKNIKIISKIENHEGVRRFDEILEASDGIMVARGDLGIEIPAEKVFLAQKMMIGRCNRAGKPVICATQMLESMIKKPRPTRAEGSDVANAVLDGADCIMLSGETAKGDYPLEAVRMQHLIAREAEAAIYHLQLFEELRRLSPITSDPTEAAAVGAVEASFKCCSGAIIVLTKSGRSAHQVARYRPRAPIIAVTRNHQTARQAHLYRGIFPVVCKDPVQEAWAEDVDLRVNLAMNVGKARGFFKKGDVVIVLTGWRPGSGFTNTMRVVPVP</t>
  </si>
  <si>
    <t>Total (aa):</t>
  </si>
  <si>
    <t>Total (bp):</t>
  </si>
  <si>
    <t>Length (aa):</t>
  </si>
  <si>
    <t>New for EMP: 5,571 bp</t>
  </si>
  <si>
    <t>Optimal pH:</t>
  </si>
  <si>
    <t>5.5-6.5 (50%: 5-7)</t>
  </si>
  <si>
    <r>
      <rPr>
        <color rgb="FF1155CC"/>
        <u/>
      </rPr>
      <t>7.5</t>
    </r>
    <r>
      <rPr>
        <color rgb="FF000000"/>
        <u/>
      </rPr>
      <t xml:space="preserve"> (50%: 5.4-9.4)</t>
    </r>
  </si>
  <si>
    <t>7.5-10 (actual)</t>
  </si>
  <si>
    <t>7.5 (inferred) to 8 (assay cond.)</t>
  </si>
  <si>
    <t>7.5 (assay conditions)</t>
  </si>
  <si>
    <t>7.5-8.2 (75%: 6.75-8.75</t>
  </si>
  <si>
    <t>6.5-7.5 (actual)</t>
  </si>
  <si>
    <t>6.8-7.2 (actual)</t>
  </si>
  <si>
    <t>Optimal temp.:</t>
  </si>
  <si>
    <t>55-70 C</t>
  </si>
  <si>
    <t>55-65 C</t>
  </si>
  <si>
    <t>25 C (37 C ok)</t>
  </si>
  <si>
    <t>30 C (assay conditions)</t>
  </si>
  <si>
    <t>25-30 C (assay cond.)</t>
  </si>
  <si>
    <t>30 (assay conditions)</t>
  </si>
  <si>
    <t>25-90 C (above activity is for 25 C)</t>
  </si>
  <si>
    <t>25 C (assay cond.)</t>
  </si>
  <si>
    <t>25 C (37 C may be ok due to immobilization)</t>
  </si>
  <si>
    <t>80 C (50%: 25 C)</t>
  </si>
  <si>
    <t>25-37 C (assay cond. and inferred)</t>
  </si>
  <si>
    <t>Necessary:</t>
  </si>
  <si>
    <t>None</t>
  </si>
  <si>
    <t>2.6 mM Mg2+, ATP</t>
  </si>
  <si>
    <t>Glucose-6-phosphate</t>
  </si>
  <si>
    <t>Fructose-6-phosphate, ATP, Mg2+</t>
  </si>
  <si>
    <t>Fructose 1,6-bisphosphate</t>
  </si>
  <si>
    <t>Dihydroxyacetone phosphate, glyceraldehyde 3-phosphate</t>
  </si>
  <si>
    <t>glyceraldehyde-3-phosphate, NAD, phosphate</t>
  </si>
  <si>
    <t>1 mM MgCl2, 1 mM ADP, 0.56 mM NADH, 0.1 mM CoCl2</t>
  </si>
  <si>
    <t>10 mM MgCl2</t>
  </si>
  <si>
    <t>8.5 mM MgCl2, 1.3 mM ADP, 20 mM potassium</t>
  </si>
  <si>
    <t>Enhancers:</t>
  </si>
  <si>
    <t>CoCl2 (endo-ex mixed; see citation 1)</t>
  </si>
  <si>
    <t>K+, Na+</t>
  </si>
  <si>
    <t>Citrate (1.5 mM saturating)</t>
  </si>
  <si>
    <t>ADP, GDP</t>
  </si>
  <si>
    <t>50 mM (NH4)2SO4</t>
  </si>
  <si>
    <t>2 mM MgCl2, 15 mM phosphate</t>
  </si>
  <si>
    <t>Inhibitors:</t>
  </si>
  <si>
    <t>(endo-exo mixed; see citation 1)</t>
  </si>
  <si>
    <t>Fe2+, Fe3+, Co2+, Mn2+, Ni2+, Cu2+, Ag+, Zn2+</t>
  </si>
  <si>
    <t>D-glucosamine, D- mannose, D-xylose, 6-deoxy-D-glucose, N-acetylmannoseamine</t>
  </si>
  <si>
    <t>Ribulose 5-P (1 mM), sedoheptulose 7-P (1 mM), ATP (5 mM) and inorganic phosphate (10 mM) (all 10% inhibition). 6-phosphogluconate (competitive; Ki 0.19 mM; 10% inhibition at 80 uM) and erythrose 4-P inhibited more strongly</t>
  </si>
  <si>
    <t>Phosphoenolpyruvate (PEP), free ATP (competitive with F6P)</t>
  </si>
  <si>
    <t>???</t>
  </si>
  <si>
    <t>EDTA, phosphate (&gt;25 mM), ???</t>
  </si>
  <si>
    <t>Mg2+  &gt;20 mM (50% inhibited at 50 mM MgCl2 and 25 C; see John Peters' email), ???</t>
  </si>
  <si>
    <t>ATP &gt;6 mM, I-phenylalanine (50% active at 20 mM), phosphate &gt;40 mM</t>
  </si>
  <si>
    <t>Substrate Km</t>
  </si>
  <si>
    <t>120 uM (glucose)</t>
  </si>
  <si>
    <t>0.48 mM G6P, 0.32 mM F6P</t>
  </si>
  <si>
    <t>450 uM F6P</t>
  </si>
  <si>
    <t>51.9 uM FBP</t>
  </si>
  <si>
    <t>1.21 mM</t>
  </si>
  <si>
    <t>127 uM GAP</t>
  </si>
  <si>
    <t>3 uM 1,3bPG</t>
  </si>
  <si>
    <t>270 uM 3PG</t>
  </si>
  <si>
    <t>160 uM 2PG</t>
  </si>
  <si>
    <t>40 uM PEP</t>
  </si>
  <si>
    <t>Donor Km</t>
  </si>
  <si>
    <t>n/a</t>
  </si>
  <si>
    <t>49 uM ATP</t>
  </si>
  <si>
    <t>413 uM NAD</t>
  </si>
  <si>
    <t>200 uM ADP</t>
  </si>
  <si>
    <t>300 uM ADP</t>
  </si>
  <si>
    <t>Product Ki</t>
  </si>
  <si>
    <t>Donor product Ki</t>
  </si>
  <si>
    <t>Quaternary structure</t>
  </si>
  <si>
    <t>Asymmetric dimer (partially dissociates with citrate activation). PDB ID 1IG8. Shouldn't be affected by N- or C-terminal fusion</t>
  </si>
  <si>
    <t>Dimer. PDB ID 1T10. Shouldn't be affected by N- or C-terminal fusion</t>
  </si>
  <si>
    <t>Tetramer. PDB ID 1PFK. Quaternary structure may be disrupted by C-terminal fusion. Use the N-terminus for all fusions just in case.</t>
  </si>
  <si>
    <t>Tetramer. PDB ID 4ALD. Quaternary structure may be disrupted by N-terminal fusion. Use the C-terminus for all fusions just in case.</t>
  </si>
  <si>
    <t>Dimer. Similar to PDB ID 2YPI. Shouldn't be affected by N- or C-terminal fusion</t>
  </si>
  <si>
    <t>Tetramer. PDB ID 1GYP. Shouldn't be affected by N- or C-terminal fusion.</t>
  </si>
  <si>
    <t>Monomer. PDB ID 3PGK. Shouldn't be affected by N- or C-terminal fusion.</t>
  </si>
  <si>
    <t>Monomer. PDB ID 3IGZ. Shouldn't be affected by N- or C-terminal fusion.</t>
  </si>
  <si>
    <t>Dimer. PDB ID 4Z1Y. Shouldn't be affected by N- or C-terminal fusion.</t>
  </si>
  <si>
    <t>Tetramer. Similar to PDB ID 3BJF. Shouldn't be affected by N- or C-terminal fusion.</t>
  </si>
  <si>
    <t xml:space="preserve"> Notes</t>
  </si>
  <si>
    <t>Secretion signal removed (first 24 residues; citation 1).</t>
  </si>
  <si>
    <t>Activity corrected (50% reduced for pH 7)</t>
  </si>
  <si>
    <t>Initiator M removed.</t>
  </si>
  <si>
    <t>Equilibrium constant is 2.43 toward G6P (citation 2)</t>
  </si>
  <si>
    <t>pH optimum partially inferred from native organism growth conditions.</t>
  </si>
  <si>
    <t>Initiator M removed. C-terminal SKM localization signal removed.</t>
  </si>
  <si>
    <t>Phosphate raises Km for 3PG and lowers Vmax (65% active at 1.35 mM 3PG and 33 mM phosphate).</t>
  </si>
  <si>
    <t>Activity corrected (50% reduced for 25 C)</t>
  </si>
  <si>
    <t>https://journals.plos.org/plosone/article?id=10.1371/journal.pone.0015447</t>
  </si>
  <si>
    <t>"It is generally known that citrate does not affect bacterial PFK1..."</t>
  </si>
  <si>
    <t>Potential alternative S. aureus enzyme</t>
  </si>
  <si>
    <t>ATP protonation state ratios across different pH (fig. 8)</t>
  </si>
  <si>
    <t>https://febs.onlinelibrary.wiley.com/doi/pdf/10.1111/j.1432-1033.1988.tb13742.x</t>
  </si>
  <si>
    <t>Götz, F., Fischer, S., &amp; Schleifer, K. H. (1980). Purification and characterisation of an unusually heat-stable and acid/base-stable class I fructose-1,6-bisphosphate aldolase from Staphylococcus aureus. European journal of biochemistry, 108(1), 295–301. https://doi.org/10.1111/j.1432-1033.1980.tb04723.x</t>
  </si>
  <si>
    <t>EcPFK2</t>
  </si>
  <si>
    <t>https://febs.onlinelibrary.wiley.com/doi/epdf/10.1111/j.1432-1033.1980.tb04723.x</t>
  </si>
  <si>
    <t>https://www.uniprot.org/uniprot/A6QK93</t>
  </si>
  <si>
    <t>https://www.researchgate.net/profile/Fred-Opperdoes/publication/21299361_Kinetic_properties_of_fructose_bisphosphate_aldolase_from_Trypanosoma_brucei_compared_to_aldolase_from_rabbit_muscle_and_Staphylococcus_aureus/links/5da9dc4692851c577eb833ec/Kinetic-properties-of-fructose-bisphosphate-aldolase-from-Trypanosoma-brucei-compared-to-aldolase-from-rabbit-muscle-and-Staphylococcus-aureus.pdf</t>
  </si>
  <si>
    <t>Babul J. (1978). Phosphofructokinases from Escherichia coli. Purification and characterization of the nonallosteric isozyme. The Journal of biological chemistry, 253(12), 4350–4355.</t>
  </si>
  <si>
    <t>https://www.jbc.org/article/S0021-9258(17)34726-9/pdf</t>
  </si>
  <si>
    <t>Cabrera, R., Baez, M., Pereira, H. M., Caniuguir, A., Garratt, R. C., &amp; Babul, J. (2011). The crystal complex of phosphofructokinase-2 of Escherichia coli with fructose-6-phosphate: kinetic and structural analysis of the allosteric ATP inhibition. The Journal of biological chemistry, 286(7), 5774–5783. https://doi.org/10.1074/jbc.M110.163162</t>
  </si>
  <si>
    <t>https://www.ncbi.nlm.nih.gov/pmc/articles/PMC3037690/</t>
  </si>
  <si>
    <t>Baez, M., Cabrera, R., Pereira, H. M., Blanco, A., Villalobos, P., Ramírez-Sarmiento, C. A., Caniuguir, A., Guixé, V., Garratt, R. C., &amp; Babul, J. (2013). A ribokinase family conserved monovalent cation binding site enhances the MgATP-induced inhibition in E. coli phosphofructokinase-2. Biophysical journal, 105(1), 185–193. https://doi.org/10.1016/j.bpj.2013.05.028</t>
  </si>
  <si>
    <t>https://www.ncbi.nlm.nih.gov/pmc/articles/PMC3699746/</t>
  </si>
  <si>
    <t xml:space="preserve">Parducci, R. E., Cabrera, R., Baez, M., &amp; Guixé, V. (2006). Evidence for a Catalytic Mg2+Ion and Effect of Phosphate on the Activity ofEscherichia coliPhosphofructokinase-2:  Regulatory Properties of a Ribokinase Family Member†. Biochemistry, 45(30), 9291–9299. doi:10.1021/bi060026o </t>
  </si>
  <si>
    <t>https://sci-hub.se/https://pubs.acs.org/doi/10.1021/bi060026o</t>
  </si>
  <si>
    <t>https://www.uniprot.org/uniprot/P06999</t>
  </si>
  <si>
    <t>P06999</t>
  </si>
  <si>
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</si>
  <si>
    <t>7.5-8.2</t>
  </si>
  <si>
    <t>25-37 C</t>
  </si>
  <si>
    <t>ATP &gt;1 mM (50% inhibited at about 5 mM; citation 2 fig. 4b), potassium (&gt;10 mM; citation 3 fig. 2b), FBP (50% inhibited at about 5 mM), phosphate (40% activity at 30 mM)</t>
  </si>
  <si>
    <t>6 uM (F6P)</t>
  </si>
  <si>
    <t>80 uM (ATP)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</si>
</sst>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0000FF"/>
    </font>
    <font>
      <color rgb="FF000000"/>
      <name val="Arial"/>
      <scheme val="minor"/>
    </font>
    <font>
      <u/>
      <color rgb="FF1155CC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2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4" fontId="2" numFmtId="0" xfId="0" applyAlignment="1" applyFill="1" applyFont="1">
      <alignment horizontal="center" readingOrder="0" shrinkToFit="0" wrapText="0"/>
    </xf>
    <xf borderId="0" fillId="5" fontId="2" numFmtId="0" xfId="0" applyAlignment="1" applyFill="1" applyFont="1">
      <alignment horizontal="center" readingOrder="0" shrinkToFit="0" wrapText="0"/>
    </xf>
    <xf borderId="0" fillId="6" fontId="2" numFmtId="0" xfId="0" applyAlignment="1" applyFill="1" applyFont="1">
      <alignment horizontal="center" readingOrder="0" shrinkToFit="0" wrapText="0"/>
    </xf>
    <xf borderId="0" fillId="7" fontId="2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1" fillId="8" fontId="1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1" fillId="9" fontId="1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1" fillId="5" fontId="1" numFmtId="0" xfId="0" applyAlignment="1" applyBorder="1" applyFont="1">
      <alignment readingOrder="0" shrinkToFit="0" wrapText="0"/>
    </xf>
    <xf borderId="1" fillId="5" fontId="3" numFmtId="0" xfId="0" applyAlignment="1" applyBorder="1" applyFont="1">
      <alignment readingOrder="0" shrinkToFit="0" wrapText="0"/>
    </xf>
    <xf borderId="1" fillId="5" fontId="1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shrinkToFit="0" wrapText="0"/>
    </xf>
    <xf borderId="1" fillId="0" fontId="8" numFmtId="0" xfId="0" applyAlignment="1" applyBorder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shrinkToFit="0" vertical="bottom" wrapText="0"/>
    </xf>
    <xf borderId="0" fillId="4" fontId="11" numFmtId="0" xfId="0" applyAlignment="1" applyFont="1">
      <alignment readingOrder="0" shrinkToFit="0" wrapText="0"/>
    </xf>
    <xf borderId="0" fillId="0" fontId="12" numFmtId="0" xfId="0" applyAlignment="1" applyFont="1">
      <alignment shrinkToFit="0" vertical="bottom" wrapText="0"/>
    </xf>
    <xf borderId="2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1" fillId="0" fontId="1" numFmtId="164" xfId="0" applyAlignment="1" applyBorder="1" applyFont="1" applyNumberFormat="1">
      <alignment readingOrder="0" shrinkToFit="0" wrapText="0"/>
    </xf>
    <xf borderId="1" fillId="0" fontId="14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164" xfId="0" applyAlignment="1" applyFont="1" applyNumberFormat="1">
      <alignment readingOrder="0" shrinkToFit="0" wrapText="0"/>
    </xf>
    <xf borderId="3" fillId="0" fontId="10" numFmtId="0" xfId="0" applyAlignment="1" applyBorder="1" applyFont="1">
      <alignment vertical="bottom"/>
    </xf>
    <xf borderId="4" fillId="0" fontId="1" numFmtId="0" xfId="0" applyAlignment="1" applyBorder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3" fillId="0" fontId="10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1" fillId="10" fontId="1" numFmtId="0" xfId="0" applyAlignment="1" applyBorder="1" applyFill="1" applyFont="1">
      <alignment readingOrder="0" shrinkToFit="0" wrapText="0"/>
    </xf>
    <xf borderId="0" fillId="1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247650</xdr:colOff>
      <xdr:row>0</xdr:row>
      <xdr:rowOff>0</xdr:rowOff>
    </xdr:from>
    <xdr:ext cx="6248400" cy="2905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ournals.plos.org/plosone/article?id=10.1371/journal.pone.0015447" TargetMode="External"/><Relationship Id="rId42" Type="http://schemas.openxmlformats.org/officeDocument/2006/relationships/hyperlink" Target="https://febs.onlinelibrary.wiley.com/doi/epdf/10.1111/j.1432-1033.1980.tb04723.x" TargetMode="External"/><Relationship Id="rId41" Type="http://schemas.openxmlformats.org/officeDocument/2006/relationships/hyperlink" Target="https://febs.onlinelibrary.wiley.com/doi/pdf/10.1111/j.1432-1033.1988.tb13742.x" TargetMode="External"/><Relationship Id="rId44" Type="http://schemas.openxmlformats.org/officeDocument/2006/relationships/hyperlink" Target="https://www.researchgate.net/profile/Fred-Opperdoes/publication/21299361_Kinetic_properties_of_fructose_bisphosphate_aldolase_from_Trypanosoma_brucei_compared_to_aldolase_from_rabbit_muscle_and_Staphylococcus_aureus/links/5da9dc4692851c577eb833ec/Kinetic-properties-of-fructose-bisphosphate-aldolase-from-Trypanosoma-brucei-compared-to-aldolase-from-rabbit-muscle-and-Staphylococcus-aureus.pdf" TargetMode="External"/><Relationship Id="rId43" Type="http://schemas.openxmlformats.org/officeDocument/2006/relationships/hyperlink" Target="https://www.uniprot.org/uniprot/A6QK93" TargetMode="External"/><Relationship Id="rId46" Type="http://schemas.openxmlformats.org/officeDocument/2006/relationships/hyperlink" Target="https://www.ncbi.nlm.nih.gov/pmc/articles/PMC3037690/" TargetMode="External"/><Relationship Id="rId45" Type="http://schemas.openxmlformats.org/officeDocument/2006/relationships/hyperlink" Target="https://www.jbc.org/article/S0021-9258(17)34726-9/pdf" TargetMode="External"/><Relationship Id="rId1" Type="http://schemas.openxmlformats.org/officeDocument/2006/relationships/hyperlink" Target="https://doi.org/10.1007/s00253-015-6619-9" TargetMode="External"/><Relationship Id="rId2" Type="http://schemas.openxmlformats.org/officeDocument/2006/relationships/hyperlink" Target="https://doi.org/10.1046/j.1432-1327.2000.01527.x" TargetMode="External"/><Relationship Id="rId3" Type="http://schemas.openxmlformats.org/officeDocument/2006/relationships/hyperlink" Target="https://doi.org/10.1111/j.1432-1033.2004.04097.x" TargetMode="External"/><Relationship Id="rId4" Type="http://schemas.openxmlformats.org/officeDocument/2006/relationships/hyperlink" Target="https://www.sciencedirect.com/science/article/abs/pii/S1381117711002220" TargetMode="External"/><Relationship Id="rId9" Type="http://schemas.openxmlformats.org/officeDocument/2006/relationships/hyperlink" Target="https://www.ncbi.nlm.nih.gov/pmc/articles/PMC1224144/pdf/14766013.pdf" TargetMode="External"/><Relationship Id="rId48" Type="http://schemas.openxmlformats.org/officeDocument/2006/relationships/hyperlink" Target="https://sci-hub.se/https://pubs.acs.org/doi/10.1021/bi060026o" TargetMode="External"/><Relationship Id="rId47" Type="http://schemas.openxmlformats.org/officeDocument/2006/relationships/hyperlink" Target="https://www.ncbi.nlm.nih.gov/pmc/articles/PMC3699746/" TargetMode="External"/><Relationship Id="rId49" Type="http://schemas.openxmlformats.org/officeDocument/2006/relationships/hyperlink" Target="https://www.uniprot.org/uniprot/P06999" TargetMode="External"/><Relationship Id="rId5" Type="http://schemas.openxmlformats.org/officeDocument/2006/relationships/hyperlink" Target="https://sci-hub.se/https://link.springer.com/article/10.1007%2Fs00253-015-6619-9" TargetMode="External"/><Relationship Id="rId6" Type="http://schemas.openxmlformats.org/officeDocument/2006/relationships/hyperlink" Target="https://www.jbc.org/article/S0021-9258(17)37775-X/pdf" TargetMode="External"/><Relationship Id="rId7" Type="http://schemas.openxmlformats.org/officeDocument/2006/relationships/hyperlink" Target="https://sci-hub.se/10.1016/S0300-9084(99)80061-3" TargetMode="External"/><Relationship Id="rId8" Type="http://schemas.openxmlformats.org/officeDocument/2006/relationships/hyperlink" Target="https://docksci.com/mgatp-and-fructose-6-phosphate-interactions-with-phosphofructokinase-from-escher_5ea7aa01097c47935e8b45a2.html" TargetMode="External"/><Relationship Id="rId31" Type="http://schemas.openxmlformats.org/officeDocument/2006/relationships/hyperlink" Target="https://www.uniprot.org/uniprot/P0A796" TargetMode="External"/><Relationship Id="rId30" Type="http://schemas.openxmlformats.org/officeDocument/2006/relationships/hyperlink" Target="https://www.uniprot.org/uniprot/Q874Q4" TargetMode="External"/><Relationship Id="rId33" Type="http://schemas.openxmlformats.org/officeDocument/2006/relationships/hyperlink" Target="https://www.uniprot.org/uniprot/P62002" TargetMode="External"/><Relationship Id="rId32" Type="http://schemas.openxmlformats.org/officeDocument/2006/relationships/hyperlink" Target="https://www.uniprot.org/uniprot/P04075" TargetMode="External"/><Relationship Id="rId35" Type="http://schemas.openxmlformats.org/officeDocument/2006/relationships/hyperlink" Target="https://www.uniprot.org/uniprot/P00560" TargetMode="External"/><Relationship Id="rId34" Type="http://schemas.openxmlformats.org/officeDocument/2006/relationships/hyperlink" Target="https://www.uniprot.org/uniprot/Q27890" TargetMode="External"/><Relationship Id="rId37" Type="http://schemas.openxmlformats.org/officeDocument/2006/relationships/hyperlink" Target="https://www.uniprot.org/uniprot/A9WCM4" TargetMode="External"/><Relationship Id="rId36" Type="http://schemas.openxmlformats.org/officeDocument/2006/relationships/hyperlink" Target="https://www.uniprot.org/uniprot/Q86N96" TargetMode="External"/><Relationship Id="rId39" Type="http://schemas.openxmlformats.org/officeDocument/2006/relationships/hyperlink" Target="https://www.sciencedirect.com/science/article/abs/pii/0006300258902452" TargetMode="External"/><Relationship Id="rId38" Type="http://schemas.openxmlformats.org/officeDocument/2006/relationships/hyperlink" Target="https://www.uniprot.org/uniprot/A5D984" TargetMode="External"/><Relationship Id="rId20" Type="http://schemas.openxmlformats.org/officeDocument/2006/relationships/hyperlink" Target="https://www.jbc.org/article/S0021-9258(19)43342-5/pdf" TargetMode="External"/><Relationship Id="rId22" Type="http://schemas.openxmlformats.org/officeDocument/2006/relationships/hyperlink" Target="https://sci-hub.se/https://www.sciencedirect.com/science/article/abs/pii/002228366890051X?via%3Dihub" TargetMode="External"/><Relationship Id="rId21" Type="http://schemas.openxmlformats.org/officeDocument/2006/relationships/hyperlink" Target="https://sci-hub.se/10.1016/s0003-2697(02)00307-x" TargetMode="External"/><Relationship Id="rId24" Type="http://schemas.openxmlformats.org/officeDocument/2006/relationships/hyperlink" Target="https://www.sigmaaldrich.com/content/dam/sigma-aldrich/docs/Sigma/Datasheet/2/h6380dat.pdf" TargetMode="External"/><Relationship Id="rId23" Type="http://schemas.openxmlformats.org/officeDocument/2006/relationships/hyperlink" Target="https://api.sigmaaldrich.com/deepweb/assets/sigmaaldrich/quality/spec/138/742/P7634-BULK________SIGMA____.pdf" TargetMode="External"/><Relationship Id="rId26" Type="http://schemas.openxmlformats.org/officeDocument/2006/relationships/hyperlink" Target="https://www.ncbi.nlm.nih.gov/nuccore/KP772230" TargetMode="External"/><Relationship Id="rId25" Type="http://schemas.openxmlformats.org/officeDocument/2006/relationships/hyperlink" Target="https://www.uniprot.org/uniprot/A0A0H4NXH8" TargetMode="External"/><Relationship Id="rId28" Type="http://schemas.openxmlformats.org/officeDocument/2006/relationships/hyperlink" Target="https://www.uniprot.org/uniprot/I3VS74" TargetMode="External"/><Relationship Id="rId27" Type="http://schemas.openxmlformats.org/officeDocument/2006/relationships/hyperlink" Target="https://www.uniprot.org/uniprot/G3BJX5" TargetMode="External"/><Relationship Id="rId29" Type="http://schemas.openxmlformats.org/officeDocument/2006/relationships/hyperlink" Target="https://www.uniprot.org/uniprot/P04807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febs.onlinelibrary.wiley.com/doi/epdf/10.1111/j.1432-1033.1994.00143.x" TargetMode="External"/><Relationship Id="rId10" Type="http://schemas.openxmlformats.org/officeDocument/2006/relationships/hyperlink" Target="https://sci-hubtw.hkvisa.net/10.1016/j.bbrc.2015.03.102" TargetMode="External"/><Relationship Id="rId13" Type="http://schemas.openxmlformats.org/officeDocument/2006/relationships/hyperlink" Target="https://febs.onlinelibrary.wiley.com/doi/full/10.1111/j.1432-1033.2004.04097.x" TargetMode="External"/><Relationship Id="rId12" Type="http://schemas.openxmlformats.org/officeDocument/2006/relationships/hyperlink" Target="https://febs.onlinelibrary.wiley.com/doi/pdf/10.1046/j.1432-1327.2000.01527.x" TargetMode="External"/><Relationship Id="rId15" Type="http://schemas.openxmlformats.org/officeDocument/2006/relationships/hyperlink" Target="https://sci-hubtw.hkvisa.net/10.1016/0020-711x(89)90240-1" TargetMode="External"/><Relationship Id="rId14" Type="http://schemas.openxmlformats.org/officeDocument/2006/relationships/hyperlink" Target="https://www.ncbi.nlm.nih.gov/pmc/articles/PMC4450660/" TargetMode="External"/><Relationship Id="rId17" Type="http://schemas.openxmlformats.org/officeDocument/2006/relationships/hyperlink" Target="https://sci-hub.se/https://doi.org/10.1139/o59-101" TargetMode="External"/><Relationship Id="rId16" Type="http://schemas.openxmlformats.org/officeDocument/2006/relationships/hyperlink" Target="https://sci-hub.se/https://www.sciencedirect.com/science/article/abs/pii/0006300258902452" TargetMode="External"/><Relationship Id="rId19" Type="http://schemas.openxmlformats.org/officeDocument/2006/relationships/hyperlink" Target="https://onlinelibrary.wiley.com/doi/epdf/10.1002/pro.5560010607" TargetMode="External"/><Relationship Id="rId18" Type="http://schemas.openxmlformats.org/officeDocument/2006/relationships/hyperlink" Target="https://sci-hub.se/https://www.worldscientific.com/doi/10.1142/s0219720008003643?url_ver=Z39.88-2003&amp;rfr_id=ori:rid:crossref.org&amp;rfr_dat=cr_pub%20%200pub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3">
        <v>3.0</v>
      </c>
      <c r="E1" s="3">
        <v>4.0</v>
      </c>
      <c r="F1" s="4">
        <v>5.0</v>
      </c>
      <c r="G1" s="4">
        <v>6.0</v>
      </c>
      <c r="H1" s="5">
        <v>7.0</v>
      </c>
      <c r="I1" s="5">
        <v>8.0</v>
      </c>
      <c r="J1" s="6">
        <v>9.0</v>
      </c>
      <c r="K1" s="6">
        <v>10.0</v>
      </c>
      <c r="L1" s="7">
        <v>11.0</v>
      </c>
      <c r="M1" s="7">
        <v>12.0</v>
      </c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9" t="s">
        <v>0</v>
      </c>
      <c r="B2" s="10" t="s">
        <v>1</v>
      </c>
      <c r="C2" s="10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"/>
      <c r="O2" s="1"/>
      <c r="P2" s="8"/>
      <c r="Q2" s="8"/>
      <c r="R2" s="8"/>
      <c r="S2" s="8"/>
      <c r="T2" s="8"/>
      <c r="U2" s="8"/>
      <c r="V2" s="8"/>
      <c r="W2" s="8"/>
    </row>
    <row r="3">
      <c r="A3" s="9" t="s">
        <v>13</v>
      </c>
      <c r="B3" s="11" t="s">
        <v>14</v>
      </c>
      <c r="C3" s="13" t="s">
        <v>15</v>
      </c>
      <c r="D3" s="13" t="s">
        <v>16</v>
      </c>
      <c r="E3" s="11" t="s">
        <v>17</v>
      </c>
      <c r="F3" s="11" t="s">
        <v>18</v>
      </c>
      <c r="G3" s="11"/>
      <c r="H3" s="11" t="s">
        <v>19</v>
      </c>
      <c r="I3" s="11" t="s">
        <v>20</v>
      </c>
      <c r="J3" s="11" t="s">
        <v>21</v>
      </c>
      <c r="K3" s="11" t="s">
        <v>22</v>
      </c>
      <c r="L3" s="11" t="s">
        <v>23</v>
      </c>
      <c r="M3" s="11" t="s">
        <v>24</v>
      </c>
      <c r="N3" s="1"/>
      <c r="O3" s="1"/>
      <c r="P3" s="8"/>
      <c r="Q3" s="8"/>
      <c r="R3" s="8"/>
      <c r="S3" s="8"/>
      <c r="T3" s="8"/>
      <c r="U3" s="8"/>
      <c r="V3" s="8"/>
      <c r="W3" s="8"/>
    </row>
    <row r="4">
      <c r="A4" s="9" t="s">
        <v>25</v>
      </c>
      <c r="B4" s="11" t="s">
        <v>26</v>
      </c>
      <c r="C4" s="11" t="s">
        <v>26</v>
      </c>
      <c r="D4" s="11" t="s">
        <v>27</v>
      </c>
      <c r="E4" s="11" t="s">
        <v>28</v>
      </c>
      <c r="F4" s="11" t="s">
        <v>29</v>
      </c>
      <c r="G4" s="11"/>
      <c r="H4" s="11" t="s">
        <v>28</v>
      </c>
      <c r="I4" s="11" t="s">
        <v>28</v>
      </c>
      <c r="J4" s="11" t="s">
        <v>30</v>
      </c>
      <c r="K4" s="11" t="s">
        <v>31</v>
      </c>
      <c r="L4" s="11" t="s">
        <v>32</v>
      </c>
      <c r="M4" s="11" t="s">
        <v>33</v>
      </c>
      <c r="N4" s="1"/>
      <c r="O4" s="1"/>
      <c r="P4" s="8"/>
      <c r="Q4" s="8"/>
      <c r="R4" s="8"/>
      <c r="S4" s="8"/>
      <c r="T4" s="8"/>
      <c r="U4" s="8"/>
      <c r="V4" s="8"/>
      <c r="W4" s="8"/>
    </row>
    <row r="5">
      <c r="A5" s="9" t="s">
        <v>34</v>
      </c>
      <c r="B5" s="14" t="s">
        <v>35</v>
      </c>
      <c r="C5" s="15" t="s">
        <v>36</v>
      </c>
      <c r="D5" s="16" t="s">
        <v>37</v>
      </c>
      <c r="E5" s="14" t="s">
        <v>38</v>
      </c>
      <c r="F5" s="14" t="s">
        <v>39</v>
      </c>
      <c r="G5" s="16" t="s">
        <v>40</v>
      </c>
      <c r="H5" s="14" t="s">
        <v>41</v>
      </c>
      <c r="I5" s="14" t="s">
        <v>42</v>
      </c>
      <c r="J5" s="15" t="s">
        <v>43</v>
      </c>
      <c r="K5" s="15" t="s">
        <v>44</v>
      </c>
      <c r="L5" s="14" t="s">
        <v>45</v>
      </c>
      <c r="M5" s="14" t="s">
        <v>46</v>
      </c>
      <c r="N5" s="1"/>
      <c r="O5" s="1"/>
      <c r="P5" s="8"/>
      <c r="Q5" s="8"/>
      <c r="R5" s="8"/>
      <c r="S5" s="8"/>
      <c r="T5" s="8"/>
      <c r="U5" s="8"/>
      <c r="V5" s="8"/>
      <c r="W5" s="8"/>
    </row>
    <row r="6">
      <c r="A6" s="9" t="s">
        <v>47</v>
      </c>
      <c r="B6" s="17" t="s">
        <v>48</v>
      </c>
      <c r="C6" s="17" t="s">
        <v>49</v>
      </c>
      <c r="D6" s="17" t="s">
        <v>50</v>
      </c>
      <c r="E6" s="18" t="s">
        <v>51</v>
      </c>
      <c r="F6" s="18" t="s">
        <v>52</v>
      </c>
      <c r="G6" s="17" t="s">
        <v>53</v>
      </c>
      <c r="H6" s="17" t="s">
        <v>54</v>
      </c>
      <c r="I6" s="19" t="s">
        <v>55</v>
      </c>
      <c r="J6" s="17" t="s">
        <v>56</v>
      </c>
      <c r="K6" s="17" t="s">
        <v>57</v>
      </c>
      <c r="L6" s="17" t="s">
        <v>58</v>
      </c>
      <c r="M6" s="17" t="s">
        <v>59</v>
      </c>
      <c r="N6" s="1"/>
      <c r="O6" s="20"/>
      <c r="P6" s="8"/>
      <c r="Q6" s="8"/>
      <c r="R6" s="8"/>
      <c r="S6" s="8"/>
      <c r="T6" s="8"/>
      <c r="U6" s="8"/>
      <c r="V6" s="8"/>
      <c r="W6" s="8"/>
    </row>
    <row r="7">
      <c r="A7" s="1" t="s">
        <v>60</v>
      </c>
      <c r="B7" s="21"/>
      <c r="C7" s="11"/>
      <c r="D7" s="14" t="s">
        <v>61</v>
      </c>
      <c r="E7" s="14" t="s">
        <v>62</v>
      </c>
      <c r="F7" s="14" t="s">
        <v>63</v>
      </c>
      <c r="G7" s="11"/>
      <c r="H7" s="11"/>
      <c r="I7" s="11"/>
      <c r="J7" s="14" t="s">
        <v>64</v>
      </c>
      <c r="K7" s="11"/>
      <c r="L7" s="22"/>
      <c r="M7" s="14" t="s">
        <v>65</v>
      </c>
      <c r="N7" s="1"/>
      <c r="O7" s="20"/>
      <c r="P7" s="8"/>
      <c r="Q7" s="8"/>
      <c r="R7" s="8"/>
      <c r="S7" s="8"/>
      <c r="T7" s="8"/>
      <c r="U7" s="8"/>
      <c r="V7" s="8"/>
      <c r="W7" s="8"/>
    </row>
    <row r="8">
      <c r="A8" s="1" t="s">
        <v>66</v>
      </c>
      <c r="B8" s="11"/>
      <c r="C8" s="11"/>
      <c r="D8" s="18" t="s">
        <v>67</v>
      </c>
      <c r="E8" s="19" t="s">
        <v>68</v>
      </c>
      <c r="F8" s="19" t="s">
        <v>69</v>
      </c>
      <c r="G8" s="23"/>
      <c r="H8" s="23"/>
      <c r="I8" s="11"/>
      <c r="J8" s="17" t="s">
        <v>70</v>
      </c>
      <c r="K8" s="11"/>
      <c r="L8" s="22"/>
      <c r="M8" s="19" t="s">
        <v>71</v>
      </c>
      <c r="N8" s="1"/>
      <c r="O8" s="1"/>
      <c r="P8" s="8"/>
      <c r="Q8" s="8"/>
      <c r="R8" s="8"/>
      <c r="S8" s="8"/>
      <c r="T8" s="8"/>
      <c r="U8" s="8"/>
      <c r="V8" s="8"/>
      <c r="W8" s="8"/>
    </row>
    <row r="9">
      <c r="A9" s="1" t="s">
        <v>72</v>
      </c>
      <c r="B9" s="11"/>
      <c r="C9" s="11"/>
      <c r="D9" s="14" t="s">
        <v>73</v>
      </c>
      <c r="E9" s="22"/>
      <c r="F9" s="14" t="s">
        <v>74</v>
      </c>
      <c r="G9" s="11"/>
      <c r="H9" s="11"/>
      <c r="I9" s="22"/>
      <c r="J9" s="11"/>
      <c r="K9" s="21"/>
      <c r="L9" s="22"/>
      <c r="M9" s="22"/>
      <c r="N9" s="1"/>
      <c r="O9" s="1"/>
      <c r="P9" s="8"/>
      <c r="Q9" s="8"/>
      <c r="R9" s="8"/>
      <c r="S9" s="8"/>
      <c r="T9" s="8"/>
      <c r="U9" s="8"/>
      <c r="V9" s="8"/>
      <c r="W9" s="8"/>
    </row>
    <row r="10">
      <c r="A10" s="1" t="s">
        <v>75</v>
      </c>
      <c r="B10" s="11"/>
      <c r="C10" s="11"/>
      <c r="D10" s="19" t="s">
        <v>76</v>
      </c>
      <c r="E10" s="22"/>
      <c r="F10" s="19" t="s">
        <v>77</v>
      </c>
      <c r="G10" s="11"/>
      <c r="H10" s="11"/>
      <c r="I10" s="22"/>
      <c r="J10" s="17" t="s">
        <v>78</v>
      </c>
      <c r="K10" s="11"/>
      <c r="L10" s="22"/>
      <c r="M10" s="22"/>
      <c r="N10" s="1"/>
      <c r="O10" s="1"/>
      <c r="P10" s="8"/>
      <c r="Q10" s="8"/>
      <c r="R10" s="8"/>
      <c r="S10" s="8"/>
      <c r="T10" s="8"/>
      <c r="U10" s="8"/>
      <c r="V10" s="8"/>
      <c r="W10" s="8"/>
    </row>
    <row r="11">
      <c r="A11" s="1"/>
      <c r="B11" s="1"/>
      <c r="C11" s="8"/>
      <c r="D11" s="24" t="s">
        <v>79</v>
      </c>
      <c r="E11" s="8"/>
      <c r="F11" s="1"/>
      <c r="G11" s="8"/>
      <c r="H11" s="8"/>
      <c r="I11" s="8"/>
      <c r="J11" s="25"/>
      <c r="K11" s="1"/>
      <c r="L11" s="8"/>
      <c r="M11" s="8"/>
      <c r="N11" s="8"/>
      <c r="O11" s="1"/>
      <c r="P11" s="8"/>
      <c r="Q11" s="8"/>
      <c r="R11" s="8"/>
      <c r="S11" s="8"/>
      <c r="T11" s="8"/>
      <c r="U11" s="8"/>
      <c r="V11" s="8"/>
      <c r="W11" s="8"/>
    </row>
    <row r="12">
      <c r="A12" s="1"/>
      <c r="B12" s="1"/>
      <c r="C12" s="26" t="s">
        <v>80</v>
      </c>
      <c r="D12" s="8"/>
      <c r="E12" s="8"/>
      <c r="F12" s="1"/>
      <c r="G12" s="8"/>
      <c r="H12" s="8"/>
      <c r="I12" s="8"/>
      <c r="J12" s="27"/>
      <c r="K12" s="1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</row>
    <row r="13">
      <c r="A13" s="1"/>
      <c r="B13" s="1"/>
      <c r="C13" s="24" t="s">
        <v>81</v>
      </c>
      <c r="D13" s="8"/>
      <c r="E13" s="8"/>
      <c r="F13" s="8"/>
      <c r="G13" s="8"/>
      <c r="H13" s="8"/>
      <c r="I13" s="8"/>
      <c r="J13" s="1"/>
      <c r="K13" s="28"/>
      <c r="L13" s="1"/>
      <c r="M13" s="1"/>
      <c r="N13" s="8"/>
      <c r="O13" s="1"/>
      <c r="P13" s="8"/>
      <c r="Q13" s="8"/>
      <c r="R13" s="8"/>
      <c r="S13" s="8"/>
      <c r="T13" s="8"/>
      <c r="U13" s="8"/>
      <c r="V13" s="8"/>
      <c r="W13" s="8"/>
    </row>
    <row r="14">
      <c r="A14" s="29" t="s">
        <v>82</v>
      </c>
      <c r="B14" s="19" t="s">
        <v>83</v>
      </c>
      <c r="C14" s="17" t="s">
        <v>84</v>
      </c>
      <c r="D14" s="17" t="s">
        <v>85</v>
      </c>
      <c r="E14" s="19" t="s">
        <v>86</v>
      </c>
      <c r="F14" s="19" t="s">
        <v>87</v>
      </c>
      <c r="G14" s="19" t="s">
        <v>88</v>
      </c>
      <c r="H14" s="19" t="s">
        <v>89</v>
      </c>
      <c r="I14" s="19" t="s">
        <v>90</v>
      </c>
      <c r="J14" s="17" t="s">
        <v>91</v>
      </c>
      <c r="K14" s="30" t="s">
        <v>92</v>
      </c>
      <c r="L14" s="19" t="s">
        <v>93</v>
      </c>
      <c r="M14" s="19" t="s">
        <v>94</v>
      </c>
      <c r="N14" s="1"/>
      <c r="O14" s="1"/>
      <c r="P14" s="8"/>
      <c r="Q14" s="8"/>
      <c r="R14" s="8"/>
      <c r="S14" s="8"/>
      <c r="T14" s="8"/>
      <c r="U14" s="8"/>
      <c r="V14" s="8"/>
      <c r="W14" s="8"/>
    </row>
    <row r="15">
      <c r="A15" s="1" t="s">
        <v>95</v>
      </c>
      <c r="B15" s="11" t="s">
        <v>96</v>
      </c>
      <c r="C15" s="11" t="s">
        <v>97</v>
      </c>
      <c r="D15" s="11" t="s">
        <v>98</v>
      </c>
      <c r="E15" s="11" t="s">
        <v>99</v>
      </c>
      <c r="F15" s="11" t="s">
        <v>100</v>
      </c>
      <c r="G15" s="11" t="s">
        <v>101</v>
      </c>
      <c r="H15" s="11" t="s">
        <v>102</v>
      </c>
      <c r="I15" s="11" t="s">
        <v>103</v>
      </c>
      <c r="J15" s="11" t="s">
        <v>104</v>
      </c>
      <c r="K15" s="11" t="s">
        <v>105</v>
      </c>
      <c r="L15" s="11" t="s">
        <v>106</v>
      </c>
      <c r="M15" s="11" t="s">
        <v>107</v>
      </c>
      <c r="N15" s="1"/>
      <c r="O15" s="29"/>
      <c r="P15" s="8"/>
      <c r="Q15" s="8"/>
      <c r="R15" s="8"/>
      <c r="S15" s="8"/>
      <c r="T15" s="8"/>
      <c r="U15" s="8"/>
      <c r="V15" s="8"/>
      <c r="W15" s="8"/>
    </row>
    <row r="16">
      <c r="A16" s="1" t="s">
        <v>108</v>
      </c>
      <c r="B16" s="11" t="s">
        <v>109</v>
      </c>
      <c r="C16" s="11" t="s">
        <v>110</v>
      </c>
      <c r="D16" s="11" t="s">
        <v>111</v>
      </c>
      <c r="E16" s="11" t="s">
        <v>112</v>
      </c>
      <c r="F16" s="11" t="s">
        <v>113</v>
      </c>
      <c r="G16" s="11" t="s">
        <v>114</v>
      </c>
      <c r="H16" s="11" t="s">
        <v>115</v>
      </c>
      <c r="I16" s="11" t="s">
        <v>116</v>
      </c>
      <c r="J16" s="11" t="s">
        <v>117</v>
      </c>
      <c r="K16" s="11" t="s">
        <v>118</v>
      </c>
      <c r="L16" s="11" t="s">
        <v>119</v>
      </c>
      <c r="M16" s="11" t="s">
        <v>120</v>
      </c>
      <c r="N16" s="1"/>
      <c r="O16" s="29" t="s">
        <v>121</v>
      </c>
      <c r="P16" s="29" t="s">
        <v>122</v>
      </c>
      <c r="Q16" s="8"/>
      <c r="R16" s="8"/>
      <c r="S16" s="8"/>
      <c r="T16" s="8"/>
      <c r="U16" s="8"/>
      <c r="V16" s="8"/>
      <c r="W16" s="8"/>
    </row>
    <row r="17">
      <c r="A17" s="1" t="s">
        <v>123</v>
      </c>
      <c r="B17" s="11">
        <f t="shared" ref="B17:M17" si="1">len(B16)</f>
        <v>312</v>
      </c>
      <c r="C17" s="22">
        <f t="shared" si="1"/>
        <v>446</v>
      </c>
      <c r="D17" s="22">
        <f t="shared" si="1"/>
        <v>485</v>
      </c>
      <c r="E17" s="11">
        <f t="shared" si="1"/>
        <v>536</v>
      </c>
      <c r="F17" s="11">
        <f t="shared" si="1"/>
        <v>320</v>
      </c>
      <c r="G17" s="11">
        <f t="shared" si="1"/>
        <v>363</v>
      </c>
      <c r="H17" s="11">
        <f t="shared" si="1"/>
        <v>228</v>
      </c>
      <c r="I17" s="22">
        <f t="shared" si="1"/>
        <v>357</v>
      </c>
      <c r="J17" s="22">
        <f t="shared" si="1"/>
        <v>415</v>
      </c>
      <c r="K17" s="11">
        <f t="shared" si="1"/>
        <v>553</v>
      </c>
      <c r="L17" s="22">
        <f t="shared" si="1"/>
        <v>426</v>
      </c>
      <c r="M17" s="22">
        <f t="shared" si="1"/>
        <v>531</v>
      </c>
      <c r="N17" s="8"/>
      <c r="O17" s="8">
        <f>sum(B17:M17)</f>
        <v>4972</v>
      </c>
      <c r="P17" s="8">
        <f>O17*3</f>
        <v>14916</v>
      </c>
      <c r="Q17" s="8"/>
      <c r="R17" s="31" t="s">
        <v>124</v>
      </c>
      <c r="S17" s="8"/>
      <c r="T17" s="8"/>
      <c r="U17" s="8"/>
      <c r="V17" s="8"/>
      <c r="W17" s="8"/>
    </row>
    <row r="18">
      <c r="A18" s="1" t="s">
        <v>125</v>
      </c>
      <c r="B18" s="32">
        <v>44354.0</v>
      </c>
      <c r="C18" s="33" t="s">
        <v>126</v>
      </c>
      <c r="D18" s="17" t="s">
        <v>127</v>
      </c>
      <c r="E18" s="34" t="s">
        <v>128</v>
      </c>
      <c r="F18" s="35" t="s">
        <v>129</v>
      </c>
      <c r="G18" s="36" t="s">
        <v>130</v>
      </c>
      <c r="H18" s="32">
        <v>44385.0</v>
      </c>
      <c r="I18" s="11">
        <v>7.5</v>
      </c>
      <c r="J18" s="11">
        <v>7.5</v>
      </c>
      <c r="K18" s="11" t="s">
        <v>131</v>
      </c>
      <c r="L18" s="11" t="s">
        <v>132</v>
      </c>
      <c r="M18" s="11" t="s">
        <v>133</v>
      </c>
      <c r="N18" s="37"/>
      <c r="O18" s="1"/>
      <c r="P18" s="8"/>
      <c r="Q18" s="8"/>
      <c r="R18" s="8"/>
      <c r="S18" s="8"/>
      <c r="T18" s="8"/>
      <c r="U18" s="8"/>
      <c r="V18" s="8"/>
      <c r="W18" s="8"/>
    </row>
    <row r="19">
      <c r="A19" s="1" t="s">
        <v>134</v>
      </c>
      <c r="B19" s="34" t="s">
        <v>135</v>
      </c>
      <c r="C19" s="11" t="s">
        <v>136</v>
      </c>
      <c r="D19" s="11" t="s">
        <v>137</v>
      </c>
      <c r="E19" s="11" t="s">
        <v>138</v>
      </c>
      <c r="F19" s="35" t="s">
        <v>139</v>
      </c>
      <c r="G19" s="36" t="s">
        <v>140</v>
      </c>
      <c r="H19" s="35" t="s">
        <v>141</v>
      </c>
      <c r="I19" s="35" t="s">
        <v>142</v>
      </c>
      <c r="J19" s="11" t="s">
        <v>137</v>
      </c>
      <c r="K19" s="35" t="s">
        <v>143</v>
      </c>
      <c r="L19" s="35" t="s">
        <v>144</v>
      </c>
      <c r="M19" s="35" t="s">
        <v>145</v>
      </c>
      <c r="N19" s="1"/>
      <c r="O19" s="1"/>
      <c r="P19" s="8"/>
      <c r="Q19" s="8"/>
      <c r="R19" s="8"/>
      <c r="S19" s="8"/>
      <c r="T19" s="8"/>
      <c r="U19" s="8"/>
      <c r="V19" s="8"/>
      <c r="W19" s="8"/>
    </row>
    <row r="20">
      <c r="A20" s="1" t="s">
        <v>146</v>
      </c>
      <c r="B20" s="11" t="s">
        <v>147</v>
      </c>
      <c r="C20" s="11"/>
      <c r="D20" s="35" t="s">
        <v>148</v>
      </c>
      <c r="E20" s="35" t="s">
        <v>149</v>
      </c>
      <c r="F20" s="35" t="s">
        <v>150</v>
      </c>
      <c r="G20" s="35" t="s">
        <v>151</v>
      </c>
      <c r="H20" s="35" t="s">
        <v>152</v>
      </c>
      <c r="I20" s="35" t="s">
        <v>153</v>
      </c>
      <c r="J20" s="22"/>
      <c r="K20" s="35" t="s">
        <v>154</v>
      </c>
      <c r="L20" s="35" t="s">
        <v>155</v>
      </c>
      <c r="M20" s="35" t="s">
        <v>156</v>
      </c>
      <c r="N20" s="31"/>
      <c r="O20" s="1"/>
      <c r="P20" s="8"/>
      <c r="Q20" s="8"/>
      <c r="R20" s="8"/>
      <c r="S20" s="8"/>
      <c r="T20" s="8"/>
      <c r="U20" s="8"/>
      <c r="V20" s="8"/>
      <c r="W20" s="8"/>
    </row>
    <row r="21">
      <c r="A21" s="1" t="s">
        <v>157</v>
      </c>
      <c r="B21" s="35" t="s">
        <v>158</v>
      </c>
      <c r="C21" s="11" t="s">
        <v>159</v>
      </c>
      <c r="D21" s="35" t="s">
        <v>160</v>
      </c>
      <c r="E21" s="11"/>
      <c r="F21" s="11" t="s">
        <v>161</v>
      </c>
      <c r="G21" s="11"/>
      <c r="H21" s="11"/>
      <c r="I21" s="35"/>
      <c r="J21" s="22"/>
      <c r="K21" s="35" t="s">
        <v>162</v>
      </c>
      <c r="L21" s="22"/>
      <c r="M21" s="35" t="s">
        <v>163</v>
      </c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" t="s">
        <v>164</v>
      </c>
      <c r="B22" s="35" t="s">
        <v>165</v>
      </c>
      <c r="C22" s="35" t="s">
        <v>166</v>
      </c>
      <c r="D22" s="35" t="s">
        <v>167</v>
      </c>
      <c r="E22" s="35" t="s">
        <v>168</v>
      </c>
      <c r="F22" s="35" t="s">
        <v>169</v>
      </c>
      <c r="G22" s="11"/>
      <c r="H22" s="11"/>
      <c r="I22" s="11"/>
      <c r="J22" s="11" t="s">
        <v>170</v>
      </c>
      <c r="K22" s="35" t="s">
        <v>171</v>
      </c>
      <c r="L22" s="35" t="s">
        <v>172</v>
      </c>
      <c r="M22" s="35" t="s">
        <v>173</v>
      </c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38" t="s">
        <v>174</v>
      </c>
      <c r="B23" s="39"/>
      <c r="C23" s="35"/>
      <c r="D23" s="35" t="s">
        <v>175</v>
      </c>
      <c r="E23" s="35" t="s">
        <v>176</v>
      </c>
      <c r="F23" s="35" t="s">
        <v>177</v>
      </c>
      <c r="G23" s="35" t="s">
        <v>178</v>
      </c>
      <c r="H23" s="11" t="s">
        <v>179</v>
      </c>
      <c r="I23" s="11" t="s">
        <v>180</v>
      </c>
      <c r="J23" s="35" t="s">
        <v>181</v>
      </c>
      <c r="K23" s="11" t="s">
        <v>182</v>
      </c>
      <c r="L23" s="35" t="s">
        <v>183</v>
      </c>
      <c r="M23" s="11" t="s">
        <v>184</v>
      </c>
      <c r="N23" s="8"/>
      <c r="O23" s="40"/>
      <c r="P23" s="8"/>
      <c r="Q23" s="8"/>
      <c r="R23" s="8"/>
      <c r="S23" s="8"/>
      <c r="T23" s="8"/>
      <c r="U23" s="8"/>
      <c r="V23" s="8"/>
      <c r="W23" s="8"/>
    </row>
    <row r="24">
      <c r="A24" s="38" t="s">
        <v>185</v>
      </c>
      <c r="B24" s="39"/>
      <c r="C24" s="35"/>
      <c r="D24" s="35"/>
      <c r="E24" s="35" t="s">
        <v>186</v>
      </c>
      <c r="F24" s="35" t="s">
        <v>187</v>
      </c>
      <c r="G24" s="35" t="s">
        <v>186</v>
      </c>
      <c r="H24" s="11" t="s">
        <v>186</v>
      </c>
      <c r="I24" s="11" t="s">
        <v>188</v>
      </c>
      <c r="J24" s="35" t="s">
        <v>189</v>
      </c>
      <c r="K24" s="11" t="s">
        <v>186</v>
      </c>
      <c r="L24" s="35" t="s">
        <v>186</v>
      </c>
      <c r="M24" s="11" t="s">
        <v>190</v>
      </c>
      <c r="N24" s="8"/>
      <c r="O24" s="40"/>
      <c r="P24" s="8"/>
      <c r="Q24" s="8"/>
      <c r="R24" s="8"/>
      <c r="S24" s="8"/>
      <c r="T24" s="8"/>
      <c r="U24" s="8"/>
      <c r="V24" s="8"/>
      <c r="W24" s="8"/>
    </row>
    <row r="25">
      <c r="A25" s="38" t="s">
        <v>191</v>
      </c>
      <c r="B25" s="39"/>
      <c r="C25" s="35"/>
      <c r="D25" s="35"/>
      <c r="E25" s="35" t="s">
        <v>186</v>
      </c>
      <c r="F25" s="35"/>
      <c r="G25" s="35"/>
      <c r="H25" s="11" t="s">
        <v>186</v>
      </c>
      <c r="I25" s="22"/>
      <c r="J25" s="35"/>
      <c r="K25" s="22"/>
      <c r="L25" s="35"/>
      <c r="M25" s="22"/>
      <c r="N25" s="8"/>
      <c r="O25" s="40"/>
      <c r="P25" s="8"/>
      <c r="Q25" s="8"/>
      <c r="R25" s="8"/>
      <c r="S25" s="8"/>
      <c r="T25" s="8"/>
      <c r="U25" s="8"/>
      <c r="V25" s="8"/>
      <c r="W25" s="8"/>
    </row>
    <row r="26">
      <c r="A26" s="41" t="s">
        <v>192</v>
      </c>
      <c r="B26" s="39"/>
      <c r="C26" s="35"/>
      <c r="D26" s="35"/>
      <c r="E26" s="35" t="s">
        <v>186</v>
      </c>
      <c r="F26" s="35"/>
      <c r="G26" s="35" t="s">
        <v>186</v>
      </c>
      <c r="H26" s="11" t="s">
        <v>186</v>
      </c>
      <c r="I26" s="22"/>
      <c r="J26" s="35"/>
      <c r="K26" s="11" t="s">
        <v>186</v>
      </c>
      <c r="L26" s="35" t="s">
        <v>186</v>
      </c>
      <c r="M26" s="22"/>
      <c r="N26" s="8"/>
      <c r="O26" s="40"/>
      <c r="P26" s="8"/>
      <c r="Q26" s="8"/>
      <c r="R26" s="8"/>
      <c r="S26" s="8"/>
      <c r="T26" s="8"/>
      <c r="U26" s="8"/>
      <c r="V26" s="8"/>
      <c r="W26" s="8"/>
    </row>
    <row r="27">
      <c r="A27" s="42" t="s">
        <v>193</v>
      </c>
      <c r="B27" s="39"/>
      <c r="C27" s="35"/>
      <c r="D27" s="43" t="s">
        <v>194</v>
      </c>
      <c r="E27" s="44" t="s">
        <v>195</v>
      </c>
      <c r="F27" s="35" t="s">
        <v>196</v>
      </c>
      <c r="G27" s="35" t="s">
        <v>197</v>
      </c>
      <c r="H27" s="35" t="s">
        <v>198</v>
      </c>
      <c r="I27" s="35" t="s">
        <v>199</v>
      </c>
      <c r="J27" s="35" t="s">
        <v>200</v>
      </c>
      <c r="K27" s="35" t="s">
        <v>201</v>
      </c>
      <c r="L27" s="35" t="s">
        <v>202</v>
      </c>
      <c r="M27" s="35" t="s">
        <v>203</v>
      </c>
      <c r="N27" s="8"/>
      <c r="O27" s="40"/>
      <c r="P27" s="8"/>
      <c r="Q27" s="8"/>
      <c r="R27" s="8"/>
      <c r="S27" s="8"/>
      <c r="T27" s="8"/>
      <c r="U27" s="8"/>
      <c r="V27" s="8"/>
      <c r="W27" s="8"/>
    </row>
    <row r="28">
      <c r="A28" s="1" t="s">
        <v>204</v>
      </c>
      <c r="B28" s="35" t="s">
        <v>205</v>
      </c>
      <c r="C28" s="35" t="s">
        <v>206</v>
      </c>
      <c r="D28" s="35" t="s">
        <v>207</v>
      </c>
      <c r="E28" s="35" t="s">
        <v>208</v>
      </c>
      <c r="F28" s="35"/>
      <c r="G28" s="35" t="s">
        <v>207</v>
      </c>
      <c r="H28" s="35" t="s">
        <v>209</v>
      </c>
      <c r="I28" s="35" t="s">
        <v>210</v>
      </c>
      <c r="J28" s="35" t="s">
        <v>207</v>
      </c>
      <c r="K28" s="35" t="s">
        <v>211</v>
      </c>
      <c r="L28" s="35" t="s">
        <v>212</v>
      </c>
      <c r="M28" s="45"/>
      <c r="N28" s="8"/>
      <c r="O28" s="40"/>
      <c r="P28" s="8"/>
      <c r="Q28" s="8"/>
      <c r="R28" s="8"/>
      <c r="S28" s="8"/>
      <c r="T28" s="8"/>
      <c r="U28" s="8"/>
      <c r="V28" s="8"/>
      <c r="W28" s="8"/>
    </row>
    <row r="29">
      <c r="A29" s="8"/>
      <c r="B29" s="8"/>
      <c r="C29" s="8"/>
      <c r="E29" s="8"/>
      <c r="F29" s="24" t="s">
        <v>213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8"/>
      <c r="B30" s="8"/>
      <c r="C30" s="8"/>
      <c r="D30" s="8"/>
      <c r="E30" s="8"/>
      <c r="F30" s="31" t="s">
        <v>214</v>
      </c>
      <c r="G30" s="31" t="s">
        <v>215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8"/>
      <c r="B31" s="8"/>
      <c r="C31" s="8"/>
      <c r="D31" s="8"/>
      <c r="E31" s="8"/>
      <c r="F31" s="8"/>
      <c r="G31" s="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8"/>
      <c r="B32" s="8"/>
      <c r="C32" s="8"/>
      <c r="D32" s="8"/>
      <c r="E32" s="8"/>
      <c r="F32" s="31" t="s">
        <v>216</v>
      </c>
      <c r="G32" s="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8"/>
      <c r="B33" s="8"/>
      <c r="C33" s="8"/>
      <c r="D33" s="8"/>
      <c r="E33" s="8"/>
      <c r="F33" s="24" t="s">
        <v>217</v>
      </c>
      <c r="G33" s="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8"/>
      <c r="B34" s="8"/>
      <c r="C34" s="8"/>
      <c r="D34" s="8"/>
      <c r="E34" s="8"/>
      <c r="F34" s="8"/>
      <c r="G34" s="1" t="s">
        <v>218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F35" s="11" t="s">
        <v>219</v>
      </c>
      <c r="G35" s="24" t="s">
        <v>220</v>
      </c>
    </row>
    <row r="36">
      <c r="F36" s="11" t="s">
        <v>18</v>
      </c>
      <c r="G36" s="24" t="s">
        <v>221</v>
      </c>
    </row>
    <row r="37">
      <c r="F37" s="11" t="s">
        <v>28</v>
      </c>
      <c r="G37" s="24" t="s">
        <v>222</v>
      </c>
    </row>
    <row r="38">
      <c r="F38" s="46" t="s">
        <v>223</v>
      </c>
    </row>
    <row r="39">
      <c r="F39" s="17" t="s">
        <v>224</v>
      </c>
    </row>
    <row r="40">
      <c r="F40" s="46" t="s">
        <v>225</v>
      </c>
    </row>
    <row r="41">
      <c r="F41" s="19" t="s">
        <v>226</v>
      </c>
    </row>
    <row r="42">
      <c r="F42" s="46" t="s">
        <v>227</v>
      </c>
    </row>
    <row r="43">
      <c r="F43" s="19" t="s">
        <v>228</v>
      </c>
    </row>
    <row r="44">
      <c r="F44" s="47" t="s">
        <v>229</v>
      </c>
    </row>
    <row r="45">
      <c r="F45" s="24" t="s">
        <v>230</v>
      </c>
    </row>
    <row r="46">
      <c r="F46" s="8"/>
    </row>
    <row r="47">
      <c r="F47" s="19" t="s">
        <v>231</v>
      </c>
    </row>
    <row r="48">
      <c r="F48" s="11" t="s">
        <v>232</v>
      </c>
    </row>
    <row r="49">
      <c r="F49" s="11" t="s">
        <v>233</v>
      </c>
    </row>
    <row r="50">
      <c r="F50" s="11">
        <f>len(F49)</f>
        <v>309</v>
      </c>
    </row>
    <row r="51">
      <c r="F51" s="11" t="s">
        <v>234</v>
      </c>
    </row>
    <row r="52">
      <c r="F52" s="11" t="s">
        <v>235</v>
      </c>
    </row>
    <row r="53">
      <c r="F53" s="35" t="s">
        <v>150</v>
      </c>
    </row>
    <row r="54">
      <c r="F54" s="22"/>
    </row>
    <row r="55">
      <c r="F55" s="35" t="s">
        <v>236</v>
      </c>
    </row>
    <row r="56">
      <c r="F56" s="35" t="s">
        <v>237</v>
      </c>
    </row>
    <row r="57">
      <c r="F57" s="35" t="s">
        <v>238</v>
      </c>
    </row>
    <row r="58">
      <c r="F58" s="35"/>
    </row>
    <row r="59">
      <c r="F59" s="35"/>
    </row>
    <row r="60">
      <c r="F60" s="35"/>
    </row>
    <row r="61">
      <c r="F61" s="35"/>
    </row>
  </sheetData>
  <hyperlinks>
    <hyperlink r:id="rId1" ref="C5"/>
    <hyperlink r:id="rId2" ref="J5"/>
    <hyperlink r:id="rId3" ref="K5"/>
    <hyperlink r:id="rId4" ref="B6"/>
    <hyperlink r:id="rId5" ref="C6"/>
    <hyperlink r:id="rId6" ref="D6"/>
    <hyperlink r:id="rId7" ref="E6"/>
    <hyperlink r:id="rId8" ref="F6"/>
    <hyperlink r:id="rId9" ref="G6"/>
    <hyperlink r:id="rId10" ref="H6"/>
    <hyperlink r:id="rId11" ref="I6"/>
    <hyperlink r:id="rId12" ref="J6"/>
    <hyperlink r:id="rId13" ref="K6"/>
    <hyperlink r:id="rId14" ref="L6"/>
    <hyperlink r:id="rId15" ref="M6"/>
    <hyperlink r:id="rId16" location=":" ref="D8"/>
    <hyperlink r:id="rId17" ref="E8"/>
    <hyperlink r:id="rId18" ref="F8"/>
    <hyperlink r:id="rId19" ref="J8"/>
    <hyperlink r:id="rId20" ref="M8"/>
    <hyperlink r:id="rId21" ref="D10"/>
    <hyperlink r:id="rId22" ref="F10"/>
    <hyperlink r:id="rId23" ref="J10"/>
    <hyperlink r:id="rId24" ref="D11"/>
    <hyperlink r:id="rId25" ref="C12"/>
    <hyperlink r:id="rId26" ref="C13"/>
    <hyperlink r:id="rId27" ref="B14"/>
    <hyperlink r:id="rId28" ref="C14"/>
    <hyperlink r:id="rId29" ref="D14"/>
    <hyperlink r:id="rId30" ref="E14"/>
    <hyperlink r:id="rId31" ref="F14"/>
    <hyperlink r:id="rId32" ref="G14"/>
    <hyperlink r:id="rId33" ref="H14"/>
    <hyperlink r:id="rId34" ref="I14"/>
    <hyperlink r:id="rId35" ref="J14"/>
    <hyperlink r:id="rId36" ref="K14"/>
    <hyperlink r:id="rId37" ref="L14"/>
    <hyperlink r:id="rId38" ref="M14"/>
    <hyperlink r:id="rId39" location=":~:text=It%20has%20been%20found%20that,the%20range%20pH%205%E2%80%938." ref="D18"/>
    <hyperlink r:id="rId40" ref="F29"/>
    <hyperlink r:id="rId41" ref="F33"/>
    <hyperlink r:id="rId42" ref="G35"/>
    <hyperlink r:id="rId43" ref="G36"/>
    <hyperlink r:id="rId44" ref="G37"/>
    <hyperlink r:id="rId45" ref="F39"/>
    <hyperlink r:id="rId46" ref="F41"/>
    <hyperlink r:id="rId47" ref="F43"/>
    <hyperlink r:id="rId48" ref="F45"/>
    <hyperlink r:id="rId49" ref="F47"/>
  </hyperlinks>
  <drawing r:id="rId50"/>
</worksheet>
</file>